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mckinsey.sharepoint.com/sites/spt-int-dp8m0ag3tq91n7m/Shared Documents/EEMA Office Learning Shared Folder/3. Programs/2. Pre-Team Lead Programs/Current programs/Core programs/Thrive Bootcamp/2025/August 2025/3. Materials/Day 2/Participant Case Material/"/>
    </mc:Choice>
  </mc:AlternateContent>
  <xr:revisionPtr revIDLastSave="1" documentId="11_5DDD05B6FDE8BE1BB85FA1205FA272C62A3F32A0" xr6:coauthVersionLast="47" xr6:coauthVersionMax="47" xr10:uidLastSave="{EF0A7F3B-11CB-4E32-B4F4-CFC7E5108DAA}"/>
  <bookViews>
    <workbookView xWindow="-108" yWindow="-108" windowWidth="23256" windowHeight="12456" activeTab="1" xr2:uid="{21252052-83E8-43D3-9642-6838CCCFE45F}"/>
  </bookViews>
  <sheets>
    <sheet name="Dairyworks Financials&gt;&gt;&gt;" sheetId="10" r:id="rId1"/>
    <sheet name="Dairyworks P&amp;L" sheetId="3" r:id="rId2"/>
    <sheet name="Peer Financials&gt;&gt;&gt;" sheetId="13" r:id="rId3"/>
    <sheet name="Almarai P&amp;L" sheetId="5" r:id="rId4"/>
    <sheet name="SADFCO P&amp;L" sheetId="6" r:id="rId5"/>
    <sheet name="NADEC P&amp;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3" l="1"/>
  <c r="C8" i="3"/>
  <c r="C10" i="3" s="1"/>
  <c r="G8" i="3"/>
  <c r="G10" i="3" s="1"/>
  <c r="F8" i="3"/>
  <c r="F10" i="3" s="1"/>
  <c r="E8" i="3"/>
  <c r="E10" i="3" s="1"/>
  <c r="D8" i="3"/>
  <c r="D10" i="3" s="1"/>
  <c r="C17" i="3"/>
  <c r="D17" i="3"/>
  <c r="E17" i="3"/>
  <c r="F17" i="3"/>
  <c r="C16" i="3"/>
  <c r="D16" i="3"/>
  <c r="E16" i="3"/>
  <c r="F16" i="3"/>
  <c r="G16" i="3"/>
  <c r="D15" i="3"/>
  <c r="G19" i="3"/>
  <c r="F19" i="3"/>
  <c r="E19" i="3"/>
  <c r="D19" i="3"/>
  <c r="C19" i="3"/>
  <c r="E15" i="3"/>
  <c r="C15" i="3"/>
  <c r="G14" i="3"/>
  <c r="F14" i="3"/>
  <c r="E14" i="3"/>
  <c r="D14" i="3"/>
  <c r="C14" i="3"/>
  <c r="G13" i="3"/>
  <c r="F13" i="3"/>
  <c r="E13" i="3"/>
  <c r="D13" i="3"/>
  <c r="C13" i="3"/>
  <c r="E18" i="3"/>
  <c r="G18" i="3" l="1"/>
  <c r="D18" i="3"/>
  <c r="F15" i="3"/>
  <c r="G15" i="3"/>
  <c r="E20" i="3"/>
  <c r="D20" i="3"/>
  <c r="C20" i="3"/>
  <c r="C18" i="3"/>
  <c r="F18" i="3" l="1"/>
  <c r="F20" i="3"/>
  <c r="G20" i="3"/>
</calcChain>
</file>

<file path=xl/sharedStrings.xml><?xml version="1.0" encoding="utf-8"?>
<sst xmlns="http://schemas.openxmlformats.org/spreadsheetml/2006/main" count="93" uniqueCount="14">
  <si>
    <t>Volume</t>
  </si>
  <si>
    <t>Revenue</t>
  </si>
  <si>
    <t>Unit</t>
  </si>
  <si>
    <t>COGS</t>
  </si>
  <si>
    <t>EBITDA</t>
  </si>
  <si>
    <t>D&amp;A</t>
  </si>
  <si>
    <t>AED mn</t>
  </si>
  <si>
    <t>SAR mn</t>
  </si>
  <si>
    <t>%</t>
  </si>
  <si>
    <t>S&amp;D</t>
  </si>
  <si>
    <t>G&amp;A</t>
  </si>
  <si>
    <t>A&amp;M</t>
  </si>
  <si>
    <t>EBIT</t>
  </si>
  <si>
    <t>000'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</si>
</sst>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0.0"/>
  </numFmts>
  <fonts count="2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3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6"/>
      <name val="Arial"/>
      <family val="2"/>
      <scheme val="minor"/>
    </font>
    <font>
      <b/>
      <sz val="22"/>
      <name val="Georgia"/>
      <family val="2"/>
      <scheme val="major"/>
    </font>
    <font>
      <sz val="11"/>
      <color theme="3"/>
      <name val="Arial"/>
      <family val="2"/>
      <scheme val="minor"/>
    </font>
    <font>
      <sz val="11"/>
      <color rgb="FF0000FF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sz val="7"/>
      <color rgb="FF212529"/>
      <name val="McKinsey Theinhardt Pan"/>
    </font>
    <font>
      <sz val="7"/>
      <color rgb="FF212529"/>
      <name val="McKinsey Theinhardt Pan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4" tint="0.89999084444715716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7F7F7F"/>
      </bottom>
      <diagonal/>
    </border>
    <border>
      <left/>
      <right/>
      <top style="thick">
        <color rgb="FF4D4D4D"/>
      </top>
      <bottom style="thick">
        <color rgb="FF4D4D4D"/>
      </bottom>
      <diagonal/>
    </border>
  </borders>
  <cellStyleXfs count="27">
    <xf numFmtId="0" fontId="0" fillId="0" borderId="0"/>
    <xf numFmtId="0" fontId="15" fillId="11" borderId="0" applyNumberFormat="0" applyAlignment="0" applyProtection="0">
      <alignment vertical="center"/>
    </xf>
    <xf numFmtId="0" fontId="10" fillId="0" borderId="0" applyNumberFormat="0" applyAlignment="0" applyProtection="0"/>
    <xf numFmtId="0" fontId="3" fillId="0" borderId="6" applyNumberFormat="0" applyAlignment="0" applyProtection="0"/>
    <xf numFmtId="0" fontId="7" fillId="8" borderId="0" applyNumberFormat="0" applyAlignment="0" applyProtection="0">
      <alignment vertical="center"/>
    </xf>
    <xf numFmtId="0" fontId="2" fillId="2" borderId="1" applyNumberFormat="0" applyProtection="0">
      <alignment vertical="center"/>
    </xf>
    <xf numFmtId="0" fontId="16" fillId="0" borderId="0" applyNumberFormat="0" applyAlignment="0" applyProtection="0">
      <alignment vertical="center"/>
    </xf>
    <xf numFmtId="0" fontId="1" fillId="10" borderId="0" applyNumberFormat="0" applyAlignment="0" applyProtection="0">
      <alignment vertical="center"/>
    </xf>
    <xf numFmtId="0" fontId="11" fillId="3" borderId="0" applyNumberFormat="0" applyBorder="0" applyAlignment="0" applyProtection="0"/>
    <xf numFmtId="0" fontId="4" fillId="4" borderId="2" applyNumberFormat="0" applyAlignment="0" applyProtection="0"/>
    <xf numFmtId="0" fontId="5" fillId="5" borderId="2" applyNumberFormat="0" applyAlignment="0" applyProtection="0"/>
    <xf numFmtId="0" fontId="6" fillId="0" borderId="3" applyNumberFormat="0" applyFill="0" applyAlignment="0" applyProtection="0"/>
    <xf numFmtId="0" fontId="7" fillId="6" borderId="4" applyNumberFormat="0" applyAlignment="0" applyProtection="0"/>
    <xf numFmtId="0" fontId="8" fillId="0" borderId="0" applyNumberFormat="0" applyFill="0" applyBorder="0" applyAlignment="0" applyProtection="0"/>
    <xf numFmtId="0" fontId="1" fillId="7" borderId="5" applyNumberFormat="0" applyFont="0" applyAlignment="0" applyProtection="0"/>
    <xf numFmtId="0" fontId="9" fillId="0" borderId="0" applyNumberFormat="0" applyFill="0" applyBorder="0" applyAlignment="0" applyProtection="0"/>
    <xf numFmtId="0" fontId="14" fillId="0" borderId="0" applyNumberFormat="0" applyAlignment="0" applyProtection="0"/>
    <xf numFmtId="0" fontId="3" fillId="9" borderId="0" applyNumberFormat="0" applyAlignment="0" applyProtection="0">
      <alignment vertical="center"/>
    </xf>
    <xf numFmtId="0" fontId="3" fillId="0" borderId="7" applyNumberFormat="0" applyAlignment="0" applyProtection="0"/>
    <xf numFmtId="0" fontId="12" fillId="0" borderId="0" applyNumberFormat="0" applyAlignment="0" applyProtection="0">
      <alignment vertical="center"/>
    </xf>
    <xf numFmtId="0" fontId="13" fillId="0" borderId="0" applyNumberFormat="0" applyAlignment="0" applyProtection="0">
      <alignment vertical="center"/>
    </xf>
    <xf numFmtId="0" fontId="8" fillId="0" borderId="0" applyNumberFormat="0" applyAlignment="0" applyProtection="0">
      <alignment vertical="center"/>
    </xf>
    <xf numFmtId="0" fontId="17" fillId="0" borderId="0" applyNumberFormat="0" applyAlignment="0" applyProtection="0">
      <alignment vertical="center"/>
    </xf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7" fillId="8" borderId="0" xfId="0" applyFont="1" applyFill="1"/>
    <xf numFmtId="9" fontId="0" fillId="0" borderId="0" xfId="26" applyFont="1"/>
    <xf numFmtId="3" fontId="0" fillId="0" borderId="0" xfId="0" applyNumberFormat="1"/>
    <xf numFmtId="3" fontId="18" fillId="0" borderId="0" xfId="0" applyNumberFormat="1" applyFont="1"/>
    <xf numFmtId="3" fontId="19" fillId="0" borderId="0" xfId="0" applyNumberFormat="1" applyFont="1"/>
    <xf numFmtId="165" fontId="0" fillId="0" borderId="0" xfId="26" applyNumberFormat="1" applyFont="1"/>
    <xf numFmtId="0" fontId="3" fillId="14" borderId="0" xfId="0" applyFont="1" applyFill="1"/>
    <xf numFmtId="9" fontId="3" fillId="14" borderId="0" xfId="26" applyFont="1" applyFill="1"/>
    <xf numFmtId="166" fontId="0" fillId="0" borderId="0" xfId="25" applyNumberFormat="1" applyFont="1"/>
    <xf numFmtId="164" fontId="0" fillId="0" borderId="0" xfId="0" applyNumberFormat="1"/>
    <xf numFmtId="9" fontId="0" fillId="0" borderId="0" xfId="0" applyNumberFormat="1"/>
    <xf numFmtId="0" fontId="0" fillId="0" borderId="0" xfId="26" applyNumberFormat="1" applyFont="1"/>
    <xf numFmtId="167" fontId="0" fillId="0" borderId="0" xfId="26" applyNumberFormat="1" applyFont="1"/>
    <xf numFmtId="9" fontId="12" fillId="0" borderId="0" xfId="26" applyFont="1" applyFill="1"/>
    <xf numFmtId="166" fontId="3" fillId="14" borderId="0" xfId="25" applyNumberFormat="1" applyFont="1" applyFill="1"/>
    <xf numFmtId="165" fontId="0" fillId="0" borderId="0" xfId="0" applyNumberFormat="1"/>
    <xf numFmtId="9" fontId="3" fillId="14" borderId="0" xfId="26" applyFont="1" applyFill="1" applyBorder="1"/>
    <xf numFmtId="164" fontId="0" fillId="0" borderId="0" xfId="25" applyFont="1"/>
    <xf numFmtId="0" fontId="0" fillId="0" borderId="0" xfId="0" quotePrefix="1"/>
  </cellXfs>
  <cellStyles count="27">
    <cellStyle name="Accent4" xfId="23" builtinId="41" customBuiltin="1"/>
    <cellStyle name="Accent6" xfId="24" builtinId="49" customBuiltin="1"/>
    <cellStyle name="Bad" xfId="8" builtinId="27" customBuiltin="1"/>
    <cellStyle name="Calculation" xfId="10" builtinId="22" hidden="1"/>
    <cellStyle name="Calculation" xfId="19" xr:uid="{BA044971-647E-4B43-BDF3-B9F90685EA06}"/>
    <cellStyle name="Check Cell" xfId="12" builtinId="23" hidden="1"/>
    <cellStyle name="Comma" xfId="25" builtinId="3"/>
    <cellStyle name="Explanatory Text" xfId="15" builtinId="53" hidden="1"/>
    <cellStyle name="Heading 1" xfId="2" builtinId="16" customBuiltin="1"/>
    <cellStyle name="Heading 2" xfId="3" builtinId="17" customBuiltin="1"/>
    <cellStyle name="Heading 3" xfId="4" builtinId="18" customBuiltin="1"/>
    <cellStyle name="Heading 4" xfId="17" builtinId="19" customBuiltin="1"/>
    <cellStyle name="Input" xfId="9" builtinId="20" hidden="1"/>
    <cellStyle name="Link" xfId="20" xr:uid="{F6F335AB-58A7-4135-B553-B7C2CE08F402}"/>
    <cellStyle name="Linked Cell" xfId="11" builtinId="24" hidden="1"/>
    <cellStyle name="Normal" xfId="0" builtinId="0"/>
    <cellStyle name="Note" xfId="14" builtinId="10" hidden="1"/>
    <cellStyle name="Notes" xfId="22" xr:uid="{7BF13CA6-F5E1-45BE-8ABA-DF8882E10889}"/>
    <cellStyle name="Output" xfId="5" builtinId="21" hidden="1" customBuiltin="1"/>
    <cellStyle name="Output" xfId="1" xr:uid="{DDC8B129-E4EA-4CC9-B7C4-EEF8799DAD76}"/>
    <cellStyle name="Percent" xfId="26" builtinId="5"/>
    <cellStyle name="Raw Data" xfId="6" xr:uid="{6E154805-33DE-42D5-80BA-AF332D8E7637}"/>
    <cellStyle name="Title" xfId="16" builtinId="15" customBuiltin="1"/>
    <cellStyle name="Total" xfId="18" builtinId="25" customBuiltin="1"/>
    <cellStyle name="Variables" xfId="7" xr:uid="{F06CDAB5-849E-4246-87E8-405DA417694B}"/>
    <cellStyle name="Warning" xfId="21" xr:uid="{270F583D-5642-40BB-8274-77A9A43F50AB}"/>
    <cellStyle name="Warning Text" xfId="13" builtinId="11" hidden="1"/>
  </cellStyles>
  <dxfs count="18"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7" defaultTableStyle="Firm Table 1" defaultPivotStyle="PivotStyleLight16">
    <tableStyle name="Firm Table 1" pivot="0" count="3" xr9:uid="{EBA62709-C567-4EE8-B22C-FB062E3CEA69}">
      <tableStyleElement type="wholeTable" dxfId="17"/>
      <tableStyleElement type="headerRow" dxfId="16"/>
      <tableStyleElement type="firstColumn" dxfId="15"/>
    </tableStyle>
    <tableStyle name="Firm Table 2" pivot="0" count="2" xr9:uid="{B876A247-FB3A-4EAD-8ABF-DECA13B726A4}">
      <tableStyleElement type="headerRow" dxfId="14"/>
      <tableStyleElement type="firstColumn" dxfId="13"/>
    </tableStyle>
    <tableStyle name="Firm Table 3" pivot="0" count="2" xr9:uid="{2B6AAF42-6E59-4306-B0DA-5849423BC35A}">
      <tableStyleElement type="headerRow" dxfId="12"/>
      <tableStyleElement type="firstColumn" dxfId="11"/>
    </tableStyle>
    <tableStyle name="Firm Table 4" pivot="0" count="3" xr9:uid="{32B30501-1584-4AD4-A03A-1FBBE68503FC}">
      <tableStyleElement type="wholeTable" dxfId="10"/>
      <tableStyleElement type="headerRow" dxfId="9"/>
      <tableStyleElement type="firstColumn" dxfId="8"/>
    </tableStyle>
    <tableStyle name="Firm Table 5" pivot="0" count="2" xr9:uid="{5186B738-23FD-49C9-A79F-52302289DB42}">
      <tableStyleElement type="headerRow" dxfId="7"/>
      <tableStyleElement type="firstColumn" dxfId="6"/>
    </tableStyle>
    <tableStyle name="Firm Table 6" pivot="0" count="3" xr9:uid="{5115FDC7-826F-425C-92C7-D20F38226ADA}">
      <tableStyleElement type="wholeTable" dxfId="5"/>
      <tableStyleElement type="headerRow" dxfId="4"/>
      <tableStyleElement type="firstColumn" dxfId="3"/>
    </tableStyle>
    <tableStyle name="Firm Table 7" pivot="0" count="3" xr9:uid="{084FD9DC-CC97-454E-8CBD-B2EE3CD956D6}">
      <tableStyleElement type="headerRow" dxfId="2"/>
      <tableStyleElement type="firstColumn" dxfId="1"/>
      <tableStyleElement type="secondRowStripe" dxfId="0"/>
    </tableStyle>
  </tableStyles>
  <colors>
    <mruColors>
      <color rgb="FF0000FF"/>
      <color rgb="FFF2F2F2"/>
      <color rgb="FFD0D0D0"/>
      <color rgb="FF7F7F7F"/>
      <color rgb="FF0080B7"/>
      <color rgb="FFE6E6E6"/>
      <color rgb="FFE73535"/>
      <color rgb="FFFAA082"/>
      <color rgb="FF71D2F1"/>
      <color rgb="FF8C5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xcel">
  <a:themeElements>
    <a:clrScheme name="Custom 24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051C2C"/>
      </a:accent1>
      <a:accent2>
        <a:srgbClr val="00A9F4"/>
      </a:accent2>
      <a:accent3>
        <a:srgbClr val="2251FF"/>
      </a:accent3>
      <a:accent4>
        <a:srgbClr val="AAE6F0"/>
      </a:accent4>
      <a:accent5>
        <a:srgbClr val="3C96B4"/>
      </a:accent5>
      <a:accent6>
        <a:srgbClr val="AFC3FF"/>
      </a:accent6>
      <a:hlink>
        <a:srgbClr val="1F40E6"/>
      </a:hlink>
      <a:folHlink>
        <a:srgbClr val="8C5AC8"/>
      </a:folHlink>
    </a:clrScheme>
    <a:fontScheme name="Scheme Whit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51C2C"/>
        </a:accent1>
        <a:accent2>
          <a:srgbClr val="00A9F4"/>
        </a:accent2>
        <a:accent3>
          <a:srgbClr val="1F40E6"/>
        </a:accent3>
        <a:accent4>
          <a:srgbClr val="AAE6F0"/>
        </a:accent4>
        <a:accent5>
          <a:srgbClr val="3C96B4"/>
        </a:accent5>
        <a:accent6>
          <a:srgbClr val="AFC3FF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Electric Blue">
      <a:srgbClr val="2251FF"/>
    </a:custClr>
    <a:custClr name="Cyan">
      <a:srgbClr val="00A9F4"/>
    </a:custClr>
    <a:custClr name="Pale Blue">
      <a:srgbClr val="6DC1DB"/>
    </a:custClr>
    <a:custClr name="Super Light Gray">
      <a:srgbClr val="D0D0D0"/>
    </a:custClr>
    <a:custClr name="Pink">
      <a:srgbClr val="E8BDAD"/>
    </a:custClr>
    <a:custClr name="Orange">
      <a:srgbClr val="FAA082"/>
    </a:custClr>
    <a:custClr name="Red">
      <a:srgbClr val="E5546C"/>
    </a:custClr>
    <a:custClr name="Null">
      <a:srgbClr val="FFFFFF"/>
    </a:custClr>
    <a:custClr name="Null">
      <a:srgbClr val="FFFFFF"/>
    </a:custClr>
    <a:custClr name="Null">
      <a:srgbClr val="FFFFFF"/>
    </a:custClr>
    <a:custClr name="Dark Gray">
      <a:srgbClr val="4D4D4D"/>
    </a:custClr>
    <a:custClr name="Mid Gray">
      <a:srgbClr val="7F7F7F"/>
    </a:custClr>
    <a:custClr name="Light Gray">
      <a:srgbClr val="B3B3B3"/>
    </a:custClr>
    <a:custClr name="Super Light Gray">
      <a:srgbClr val="D0D0D0"/>
    </a:custClr>
    <a:custClr name="Pale Gray">
      <a:srgbClr val="E6E6E6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Linear 1 (Deep Blue)">
      <a:srgbClr val="051C2C"/>
    </a:custClr>
    <a:custClr name="Linear 2">
      <a:srgbClr val="034B6F"/>
    </a:custClr>
    <a:custClr name="Linear 3">
      <a:srgbClr val="027AB1"/>
    </a:custClr>
    <a:custClr name="Linear 4 (Cyan)">
      <a:srgbClr val="00A9F4"/>
    </a:custClr>
    <a:custClr name="Linear 5">
      <a:srgbClr val="71D2F1"/>
    </a:custClr>
    <a:custClr name="Linear 6 (Pale Blue)">
      <a:srgbClr val="AAE6F0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</a:custClrLst>
  <a:extLst>
    <a:ext uri="{05A4C25C-085E-4340-85A3-A5531E510DB2}">
      <thm15:themeFamily xmlns:thm15="http://schemas.microsoft.com/office/thememl/2012/main" name="mck" id="{5C06EE14-FD0C-4D84-95B7-A7A2283B4F1A}" vid="{E155375D-59B9-41EA-8544-0CDF30FD128F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E060-AEA7-4F38-889C-68EE36CD3ED3}">
  <sheetPr>
    <tabColor theme="4"/>
  </sheetPr>
  <dimension ref="A1"/>
  <sheetViews>
    <sheetView showGridLines="0" workbookViewId="0"/>
  </sheetViews>
  <sheetFormatPr defaultRowHeight="13.8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04AE-F8A9-4042-91B5-3EB3261D5CA5}">
  <dimension ref="A1:O20"/>
  <sheetViews>
    <sheetView tabSelected="1" zoomScale="85" zoomScaleNormal="85" workbookViewId="0">
      <selection activeCell="F26" sqref="F26"/>
    </sheetView>
  </sheetViews>
  <sheetFormatPr defaultRowHeight="13.8"/>
  <cols>
    <col min="1" max="1" width="8.296875" bestFit="1" customWidth="1"/>
    <col min="2" max="2" width="8.5" bestFit="1" customWidth="1"/>
    <col min="10" max="14" width="9.5" bestFit="1" customWidth="1"/>
  </cols>
  <sheetData>
    <row r="1" spans="1:15">
      <c r="B1" s="1" t="s">
        <v>2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</row>
    <row r="2" spans="1:15">
      <c r="A2" s="1" t="s">
        <v>0</v>
      </c>
      <c r="B2" s="19" t="s">
        <v>13</v>
      </c>
      <c r="C2" s="9">
        <v>313.14920634920634</v>
      </c>
      <c r="D2" s="9">
        <v>310.52209523809529</v>
      </c>
      <c r="E2" s="9">
        <v>298.44352380952381</v>
      </c>
      <c r="F2" s="9">
        <v>282.25244444444445</v>
      </c>
      <c r="G2" s="9">
        <v>271.50095238095241</v>
      </c>
      <c r="H2" s="2"/>
      <c r="I2" s="4"/>
      <c r="J2" s="10"/>
      <c r="K2" s="10"/>
      <c r="L2" s="10"/>
      <c r="M2" s="10"/>
      <c r="N2" s="10"/>
      <c r="O2" s="10"/>
    </row>
    <row r="3" spans="1:15">
      <c r="A3" s="1" t="s">
        <v>1</v>
      </c>
      <c r="B3" t="s">
        <v>6</v>
      </c>
      <c r="C3" s="9">
        <v>2000</v>
      </c>
      <c r="D3" s="9">
        <v>2020</v>
      </c>
      <c r="E3" s="9">
        <v>2010</v>
      </c>
      <c r="F3" s="9">
        <v>1960</v>
      </c>
      <c r="G3" s="9">
        <v>1900</v>
      </c>
      <c r="H3" s="2"/>
      <c r="I3" s="4"/>
      <c r="J3" s="10"/>
      <c r="K3" s="10"/>
      <c r="L3" s="10"/>
      <c r="M3" s="10"/>
      <c r="N3" s="10"/>
      <c r="O3" s="10"/>
    </row>
    <row r="4" spans="1:15">
      <c r="A4" s="1" t="s">
        <v>3</v>
      </c>
      <c r="B4" t="s">
        <v>6</v>
      </c>
      <c r="C4" s="9">
        <v>-1186.4000000000001</v>
      </c>
      <c r="D4" s="9">
        <v>-1201.6980000000001</v>
      </c>
      <c r="E4" s="9">
        <v>-1220.874</v>
      </c>
      <c r="F4" s="9">
        <v>-1209.7120000000002</v>
      </c>
      <c r="G4" s="9">
        <v>-1225.5000000000005</v>
      </c>
      <c r="K4" s="5"/>
    </row>
    <row r="5" spans="1:15">
      <c r="A5" s="1" t="s">
        <v>9</v>
      </c>
      <c r="B5" t="s">
        <v>6</v>
      </c>
      <c r="C5" s="9">
        <v>-340</v>
      </c>
      <c r="D5" s="9">
        <v>-358.57988165680473</v>
      </c>
      <c r="E5" s="9">
        <v>-380.37848605577688</v>
      </c>
      <c r="F5" s="9">
        <v>-426.26016260162601</v>
      </c>
      <c r="G5" s="9">
        <v>-474.01247401247406</v>
      </c>
      <c r="I5" s="12"/>
    </row>
    <row r="6" spans="1:15">
      <c r="A6" s="1" t="s">
        <v>11</v>
      </c>
      <c r="B6" t="s">
        <v>6</v>
      </c>
      <c r="C6" s="9">
        <v>-12</v>
      </c>
      <c r="D6" s="9">
        <v>-7.9684418145956615</v>
      </c>
      <c r="E6" s="9">
        <v>-10.009960159362549</v>
      </c>
      <c r="F6" s="9">
        <v>-11.951219512195122</v>
      </c>
      <c r="G6" s="9">
        <v>-10.862785862785863</v>
      </c>
      <c r="H6" s="2"/>
      <c r="I6" s="13"/>
      <c r="K6" s="12"/>
    </row>
    <row r="7" spans="1:15">
      <c r="A7" s="1" t="s">
        <v>10</v>
      </c>
      <c r="B7" t="s">
        <v>6</v>
      </c>
      <c r="C7" s="9">
        <v>-100</v>
      </c>
      <c r="D7" s="9">
        <v>-79.684418145956613</v>
      </c>
      <c r="E7" s="9">
        <v>-92.091633466135463</v>
      </c>
      <c r="F7" s="9">
        <v>-79.674796747967477</v>
      </c>
      <c r="G7" s="9">
        <v>-79.002079002079</v>
      </c>
      <c r="H7" s="2"/>
      <c r="I7" s="13"/>
      <c r="K7" s="12"/>
    </row>
    <row r="8" spans="1:15">
      <c r="A8" s="7" t="s">
        <v>4</v>
      </c>
      <c r="B8" s="7" t="s">
        <v>6</v>
      </c>
      <c r="C8" s="15">
        <f>SUM(C3:C7)</f>
        <v>361.59999999999991</v>
      </c>
      <c r="D8" s="15">
        <f>SUM(D3:D7)</f>
        <v>372.06925838264289</v>
      </c>
      <c r="E8" s="15">
        <f>SUM(E3:E7)</f>
        <v>306.64592031872508</v>
      </c>
      <c r="F8" s="15">
        <f>SUM(F3:F7)</f>
        <v>232.40182113821118</v>
      </c>
      <c r="G8" s="15">
        <f>SUM(G3:G7)</f>
        <v>110.62266112266062</v>
      </c>
      <c r="H8" s="14"/>
      <c r="I8" s="13"/>
      <c r="K8" s="12"/>
    </row>
    <row r="9" spans="1:15">
      <c r="A9" s="1" t="s">
        <v>5</v>
      </c>
      <c r="B9" t="s">
        <v>6</v>
      </c>
      <c r="C9" s="9">
        <v>-100</v>
      </c>
      <c r="D9" s="9">
        <v>-99.605522682445766</v>
      </c>
      <c r="E9" s="9">
        <v>-100.09960159362549</v>
      </c>
      <c r="F9" s="9">
        <v>-99.59349593495935</v>
      </c>
      <c r="G9" s="9">
        <v>-98.752598752598757</v>
      </c>
    </row>
    <row r="10" spans="1:15">
      <c r="A10" s="7" t="s">
        <v>12</v>
      </c>
      <c r="B10" s="7" t="s">
        <v>6</v>
      </c>
      <c r="C10" s="15">
        <f>SUM(C8:C9)</f>
        <v>261.59999999999991</v>
      </c>
      <c r="D10" s="15">
        <f t="shared" ref="D10:G10" si="0">SUM(D8:D9)</f>
        <v>272.46373570019711</v>
      </c>
      <c r="E10" s="15">
        <f t="shared" si="0"/>
        <v>206.54631872509958</v>
      </c>
      <c r="F10" s="15">
        <f t="shared" si="0"/>
        <v>132.80832520325183</v>
      </c>
      <c r="G10" s="15">
        <f t="shared" si="0"/>
        <v>11.870062370061859</v>
      </c>
    </row>
    <row r="12" spans="1:15">
      <c r="B12" s="1" t="s">
        <v>2</v>
      </c>
      <c r="C12" s="1">
        <v>2017</v>
      </c>
      <c r="D12" s="1">
        <v>2018</v>
      </c>
      <c r="E12" s="1">
        <v>2019</v>
      </c>
      <c r="F12" s="1">
        <v>2020</v>
      </c>
      <c r="G12" s="1">
        <v>2021</v>
      </c>
      <c r="I12" s="2"/>
      <c r="J12" s="2"/>
      <c r="K12" s="2"/>
      <c r="L12" s="2"/>
      <c r="M12" s="2"/>
    </row>
    <row r="13" spans="1:15">
      <c r="A13" s="1" t="s">
        <v>1</v>
      </c>
      <c r="B13" t="s">
        <v>8</v>
      </c>
      <c r="C13" s="2">
        <f>C3/$C$3</f>
        <v>1</v>
      </c>
      <c r="D13" s="2">
        <f>D3/$D$3</f>
        <v>1</v>
      </c>
      <c r="E13" s="2">
        <f>E3/$E$3</f>
        <v>1</v>
      </c>
      <c r="F13" s="2">
        <f>F3/$F$3</f>
        <v>1</v>
      </c>
      <c r="G13" s="2">
        <f t="shared" ref="G13:G20" si="1">G3/$G$3</f>
        <v>1</v>
      </c>
      <c r="N13" s="6"/>
    </row>
    <row r="14" spans="1:15">
      <c r="A14" s="1" t="s">
        <v>3</v>
      </c>
      <c r="B14" t="s">
        <v>8</v>
      </c>
      <c r="C14" s="2">
        <f>C4/$C$3</f>
        <v>-0.59320000000000006</v>
      </c>
      <c r="D14" s="2">
        <f>D4/$D$3</f>
        <v>-0.5949000000000001</v>
      </c>
      <c r="E14" s="2">
        <f>E4/$E$3</f>
        <v>-0.60740000000000005</v>
      </c>
      <c r="F14" s="2">
        <f>F4/$F$3</f>
        <v>-0.61720000000000008</v>
      </c>
      <c r="G14" s="2">
        <f t="shared" si="1"/>
        <v>-0.64500000000000024</v>
      </c>
    </row>
    <row r="15" spans="1:15">
      <c r="A15" s="1" t="s">
        <v>9</v>
      </c>
      <c r="B15" t="s">
        <v>8</v>
      </c>
      <c r="C15" s="2">
        <f>C5/$C$3</f>
        <v>-0.17</v>
      </c>
      <c r="D15" s="2">
        <f>D5/$D$3</f>
        <v>-0.17751479289940827</v>
      </c>
      <c r="E15" s="2">
        <f>E5/$E$3</f>
        <v>-0.18924302788844621</v>
      </c>
      <c r="F15" s="2">
        <f>F5/$F$3</f>
        <v>-0.21747967479674796</v>
      </c>
      <c r="G15" s="2">
        <f t="shared" si="1"/>
        <v>-0.24948024948024949</v>
      </c>
    </row>
    <row r="16" spans="1:15">
      <c r="A16" s="1" t="s">
        <v>11</v>
      </c>
      <c r="B16" t="s">
        <v>8</v>
      </c>
      <c r="C16" s="6">
        <f>C6/$C$3</f>
        <v>-6.0000000000000001E-3</v>
      </c>
      <c r="D16" s="6">
        <f>D6/$D$3</f>
        <v>-3.9447731755424065E-3</v>
      </c>
      <c r="E16" s="6">
        <f>E6/$E$3</f>
        <v>-4.9800796812749003E-3</v>
      </c>
      <c r="F16" s="6">
        <f>F6/$F$3</f>
        <v>-6.0975609756097563E-3</v>
      </c>
      <c r="G16" s="6">
        <f t="shared" si="1"/>
        <v>-5.7172557172557176E-3</v>
      </c>
      <c r="H16" s="2"/>
      <c r="I16" s="13"/>
      <c r="J16" s="13"/>
      <c r="K16" s="13"/>
      <c r="L16" s="13"/>
      <c r="M16" s="13"/>
      <c r="N16" s="2"/>
    </row>
    <row r="17" spans="1:14">
      <c r="A17" s="1" t="s">
        <v>10</v>
      </c>
      <c r="B17" t="s">
        <v>8</v>
      </c>
      <c r="C17" s="2">
        <f t="shared" ref="C17" si="2">C7/$C$3</f>
        <v>-0.05</v>
      </c>
      <c r="D17" s="2">
        <f t="shared" ref="D17" si="3">D7/$D$3</f>
        <v>-3.9447731755424063E-2</v>
      </c>
      <c r="E17" s="2">
        <f t="shared" ref="E17" si="4">E7/$E$3</f>
        <v>-4.5816733067729085E-2</v>
      </c>
      <c r="F17" s="2">
        <f t="shared" ref="F17" si="5">F7/$F$3</f>
        <v>-4.065040650406504E-2</v>
      </c>
      <c r="G17" s="2">
        <f t="shared" si="1"/>
        <v>-4.1580041580041582E-2</v>
      </c>
      <c r="H17" s="2"/>
      <c r="I17" s="13"/>
      <c r="J17" s="13"/>
      <c r="K17" s="13"/>
      <c r="L17" s="13"/>
      <c r="M17" s="13"/>
      <c r="N17" s="2"/>
    </row>
    <row r="18" spans="1:14">
      <c r="A18" s="7" t="s">
        <v>4</v>
      </c>
      <c r="B18" s="7" t="s">
        <v>8</v>
      </c>
      <c r="C18" s="8">
        <f>C8/$C$3</f>
        <v>0.18079999999999996</v>
      </c>
      <c r="D18" s="8">
        <f>D8/$D$3</f>
        <v>0.18419270216962519</v>
      </c>
      <c r="E18" s="8">
        <f>E8/$E$3</f>
        <v>0.1525601593625498</v>
      </c>
      <c r="F18" s="8">
        <f>F8/$F$3</f>
        <v>0.11857235772357713</v>
      </c>
      <c r="G18" s="8">
        <f t="shared" si="1"/>
        <v>5.8222453222452959E-2</v>
      </c>
      <c r="H18" s="11"/>
      <c r="J18" s="2"/>
      <c r="K18" s="2"/>
      <c r="L18" s="2"/>
      <c r="M18" s="2"/>
      <c r="N18" s="2"/>
    </row>
    <row r="19" spans="1:14">
      <c r="A19" s="1" t="s">
        <v>5</v>
      </c>
      <c r="B19" t="s">
        <v>8</v>
      </c>
      <c r="C19" s="2">
        <f>C9/$C$3</f>
        <v>-0.05</v>
      </c>
      <c r="D19" s="2">
        <f>D9/$D$3</f>
        <v>-4.9309664694280081E-2</v>
      </c>
      <c r="E19" s="2">
        <f>E9/$E$3</f>
        <v>-4.9800796812749001E-2</v>
      </c>
      <c r="F19" s="2">
        <f>F9/$F$3</f>
        <v>-5.08130081300813E-2</v>
      </c>
      <c r="G19" s="2">
        <f t="shared" si="1"/>
        <v>-5.1975051975051978E-2</v>
      </c>
      <c r="N19" s="2"/>
    </row>
    <row r="20" spans="1:14">
      <c r="A20" s="7" t="s">
        <v>12</v>
      </c>
      <c r="B20" s="7" t="s">
        <v>8</v>
      </c>
      <c r="C20" s="8">
        <f>C10/$C$3</f>
        <v>0.13079999999999994</v>
      </c>
      <c r="D20" s="8">
        <f>D10/$D$3</f>
        <v>0.13488303747534511</v>
      </c>
      <c r="E20" s="8">
        <f>E10/$E$3</f>
        <v>0.10275936254980078</v>
      </c>
      <c r="F20" s="8">
        <f>F10/$F$3</f>
        <v>6.7759349593495832E-2</v>
      </c>
      <c r="G20" s="8">
        <f t="shared" si="1"/>
        <v>6.2474012474009787E-3</v>
      </c>
      <c r="I20" s="18"/>
      <c r="J20" s="18"/>
      <c r="K20" s="18"/>
      <c r="L20" s="18"/>
      <c r="M20" s="18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1E4D-720F-42B6-955F-7CD4A29E53FB}">
  <sheetPr>
    <tabColor theme="4"/>
  </sheetPr>
  <dimension ref="A1"/>
  <sheetViews>
    <sheetView showGridLines="0" workbookViewId="0">
      <selection activeCell="I16" sqref="I16"/>
    </sheetView>
  </sheetViews>
  <sheetFormatPr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090A-7170-4D9E-9272-D3E54242CAC9}">
  <dimension ref="A1:H10"/>
  <sheetViews>
    <sheetView workbookViewId="0"/>
  </sheetViews>
  <sheetFormatPr defaultRowHeight="13.8"/>
  <cols>
    <col min="2" max="2" width="7.69921875" bestFit="1" customWidth="1"/>
    <col min="9" max="9" width="6.8984375" bestFit="1" customWidth="1"/>
    <col min="10" max="10" width="8.69921875" bestFit="1" customWidth="1"/>
  </cols>
  <sheetData>
    <row r="1" spans="1:8">
      <c r="B1" s="1" t="s">
        <v>2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</row>
    <row r="2" spans="1:8">
      <c r="A2" s="1" t="s">
        <v>1</v>
      </c>
      <c r="B2" t="s">
        <v>7</v>
      </c>
      <c r="C2" s="3">
        <v>13936</v>
      </c>
      <c r="D2" s="3">
        <v>13723</v>
      </c>
      <c r="E2" s="3">
        <v>14351</v>
      </c>
      <c r="F2" s="3">
        <v>15357</v>
      </c>
      <c r="G2" s="3">
        <v>15850</v>
      </c>
      <c r="H2" s="2"/>
    </row>
    <row r="3" spans="1:8">
      <c r="A3" s="1" t="s">
        <v>1</v>
      </c>
      <c r="B3" t="s">
        <v>8</v>
      </c>
      <c r="C3" s="2">
        <v>1</v>
      </c>
      <c r="D3" s="2">
        <v>1</v>
      </c>
      <c r="E3" s="2">
        <v>1</v>
      </c>
      <c r="F3" s="2">
        <v>1</v>
      </c>
      <c r="G3" s="2">
        <v>1</v>
      </c>
    </row>
    <row r="4" spans="1:8">
      <c r="A4" s="1" t="s">
        <v>3</v>
      </c>
      <c r="B4" t="s">
        <v>8</v>
      </c>
      <c r="C4" s="2">
        <v>-0.45515212399540755</v>
      </c>
      <c r="D4" s="2">
        <v>-0.44953727319099324</v>
      </c>
      <c r="E4" s="2">
        <v>-0.47453139154065921</v>
      </c>
      <c r="F4" s="2">
        <v>-0.51214429901673508</v>
      </c>
      <c r="G4" s="2">
        <v>-0.55791798107255519</v>
      </c>
    </row>
    <row r="5" spans="1:8">
      <c r="A5" s="1" t="s">
        <v>9</v>
      </c>
      <c r="B5" t="s">
        <v>8</v>
      </c>
      <c r="C5" s="2">
        <v>-0.154</v>
      </c>
      <c r="D5" s="2">
        <v>-0.153</v>
      </c>
      <c r="E5" s="2">
        <v>-0.15</v>
      </c>
      <c r="F5" s="2">
        <v>-0.14599999999999999</v>
      </c>
      <c r="G5" s="2">
        <v>-0.14099999999999999</v>
      </c>
    </row>
    <row r="6" spans="1:8">
      <c r="A6" s="1" t="s">
        <v>11</v>
      </c>
      <c r="B6" t="s">
        <v>8</v>
      </c>
      <c r="C6" s="2">
        <v>-2.5999999999999999E-2</v>
      </c>
      <c r="D6" s="2">
        <v>-2.4E-2</v>
      </c>
      <c r="E6" s="2">
        <v>-2.4E-2</v>
      </c>
      <c r="F6" s="2">
        <v>-2.1000000000000001E-2</v>
      </c>
      <c r="G6" s="6">
        <v>-0.02</v>
      </c>
    </row>
    <row r="7" spans="1:8">
      <c r="A7" s="1" t="s">
        <v>10</v>
      </c>
      <c r="B7" t="s">
        <v>8</v>
      </c>
      <c r="C7" s="2">
        <v>-2.0129161882893199E-2</v>
      </c>
      <c r="D7" s="2">
        <v>-2.02600743277709E-2</v>
      </c>
      <c r="E7" s="2">
        <v>-1.9505679046756302E-2</v>
      </c>
      <c r="F7" s="2">
        <v>-1.2397017646675799E-2</v>
      </c>
      <c r="G7" s="2">
        <v>-1.1176656151419599E-2</v>
      </c>
    </row>
    <row r="8" spans="1:8">
      <c r="A8" s="7" t="s">
        <v>4</v>
      </c>
      <c r="B8" s="7" t="s">
        <v>8</v>
      </c>
      <c r="C8" s="8">
        <v>0.34471871412169924</v>
      </c>
      <c r="D8" s="8">
        <v>0.35320265248123583</v>
      </c>
      <c r="E8" s="8">
        <v>0.33196292941258437</v>
      </c>
      <c r="F8" s="8">
        <v>0.3084586833365891</v>
      </c>
      <c r="G8" s="8">
        <v>0.26990536277602517</v>
      </c>
      <c r="H8" s="11"/>
    </row>
    <row r="9" spans="1:8">
      <c r="A9" s="1" t="s">
        <v>5</v>
      </c>
      <c r="B9" t="s">
        <v>8</v>
      </c>
      <c r="C9" s="2">
        <v>-0.13418484500574052</v>
      </c>
      <c r="D9" s="2">
        <v>-0.14559498651898273</v>
      </c>
      <c r="E9" s="2">
        <v>-0.14807330499616753</v>
      </c>
      <c r="F9" s="2">
        <v>-0.13401054893533892</v>
      </c>
      <c r="G9" s="2">
        <v>-0.13072555205047318</v>
      </c>
    </row>
    <row r="10" spans="1:8">
      <c r="A10" s="7" t="s">
        <v>12</v>
      </c>
      <c r="B10" s="7" t="s">
        <v>8</v>
      </c>
      <c r="C10" s="8">
        <v>0.21053386911595873</v>
      </c>
      <c r="D10" s="8">
        <v>0.20760766596225311</v>
      </c>
      <c r="E10" s="8">
        <v>0.18388962441641685</v>
      </c>
      <c r="F10" s="8">
        <v>0.17444813440125018</v>
      </c>
      <c r="G10" s="8">
        <v>0.13917981072555199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BFE9-26C1-4B59-A584-DB3B976F5988}">
  <dimension ref="A1:N10"/>
  <sheetViews>
    <sheetView workbookViewId="0"/>
  </sheetViews>
  <sheetFormatPr defaultRowHeight="13.8"/>
  <cols>
    <col min="2" max="2" width="7.69921875" bestFit="1" customWidth="1"/>
  </cols>
  <sheetData>
    <row r="1" spans="1:14">
      <c r="B1" s="1" t="s">
        <v>2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</row>
    <row r="2" spans="1:14">
      <c r="A2" s="1" t="s">
        <v>1</v>
      </c>
      <c r="B2" t="s">
        <v>7</v>
      </c>
      <c r="C2" s="3">
        <v>1693</v>
      </c>
      <c r="D2" s="3">
        <v>1813</v>
      </c>
      <c r="E2" s="3">
        <v>2056</v>
      </c>
      <c r="F2" s="3">
        <v>2105</v>
      </c>
      <c r="G2" s="3">
        <v>2170</v>
      </c>
      <c r="H2" s="2"/>
      <c r="J2" s="3"/>
      <c r="K2" s="3"/>
      <c r="L2" s="3"/>
      <c r="M2" s="3"/>
      <c r="N2" s="3"/>
    </row>
    <row r="3" spans="1:14">
      <c r="A3" s="1" t="s">
        <v>1</v>
      </c>
      <c r="B3" t="s">
        <v>8</v>
      </c>
      <c r="C3" s="2">
        <v>1</v>
      </c>
      <c r="D3" s="2">
        <v>1</v>
      </c>
      <c r="E3" s="2">
        <v>1</v>
      </c>
      <c r="F3" s="2">
        <v>1</v>
      </c>
      <c r="G3" s="2">
        <v>1</v>
      </c>
    </row>
    <row r="4" spans="1:14">
      <c r="A4" s="1" t="s">
        <v>3</v>
      </c>
      <c r="B4" t="s">
        <v>8</v>
      </c>
      <c r="C4" s="2">
        <v>-0.57885410513880686</v>
      </c>
      <c r="D4" s="2">
        <v>-0.56999999999999995</v>
      </c>
      <c r="E4" s="2">
        <v>-0.57999999999999996</v>
      </c>
      <c r="F4" s="2">
        <v>-0.61</v>
      </c>
      <c r="G4" s="2">
        <v>-0.64</v>
      </c>
    </row>
    <row r="5" spans="1:14">
      <c r="A5" s="1" t="s">
        <v>9</v>
      </c>
      <c r="B5" t="s">
        <v>8</v>
      </c>
      <c r="C5" s="2">
        <v>-0.14399999999999999</v>
      </c>
      <c r="D5" s="2">
        <v>-0.14199999999999999</v>
      </c>
      <c r="E5" s="2">
        <v>-0.14199999999999999</v>
      </c>
      <c r="F5" s="2">
        <v>-0.14299999999999999</v>
      </c>
      <c r="G5" s="2">
        <v>-0.14199999999999999</v>
      </c>
    </row>
    <row r="6" spans="1:14">
      <c r="A6" s="1" t="s">
        <v>11</v>
      </c>
      <c r="B6" t="s">
        <v>8</v>
      </c>
      <c r="C6" s="2">
        <v>-2.5999999999999999E-2</v>
      </c>
      <c r="D6" s="2">
        <v>-2.5000000000000001E-2</v>
      </c>
      <c r="E6" s="2">
        <v>-2.1000000000000001E-2</v>
      </c>
      <c r="F6" s="2">
        <v>-2.3E-2</v>
      </c>
      <c r="G6" s="6">
        <v>-2.1999999999999999E-2</v>
      </c>
    </row>
    <row r="7" spans="1:14">
      <c r="A7" s="1" t="s">
        <v>10</v>
      </c>
      <c r="B7" t="s">
        <v>8</v>
      </c>
      <c r="C7" s="2">
        <v>-3.7914943886591897E-2</v>
      </c>
      <c r="D7" s="2">
        <v>-2.4947049089906199E-2</v>
      </c>
      <c r="E7" s="2">
        <v>-2.62023346303502E-2</v>
      </c>
      <c r="F7" s="2">
        <v>-2.5923990498812399E-2</v>
      </c>
      <c r="G7" s="2">
        <v>-2.58617511520738E-2</v>
      </c>
    </row>
    <row r="8" spans="1:14">
      <c r="A8" s="7" t="s">
        <v>4</v>
      </c>
      <c r="B8" s="7" t="s">
        <v>8</v>
      </c>
      <c r="C8" s="17">
        <v>0.21323095097460121</v>
      </c>
      <c r="D8" s="17">
        <v>0.23805295091009382</v>
      </c>
      <c r="E8" s="17">
        <v>0.2307976653696498</v>
      </c>
      <c r="F8" s="17">
        <v>0.19807600950118764</v>
      </c>
      <c r="G8" s="17">
        <v>0.17013824884792622</v>
      </c>
      <c r="H8" s="11"/>
    </row>
    <row r="9" spans="1:14">
      <c r="A9" s="1" t="s">
        <v>5</v>
      </c>
      <c r="B9" t="s">
        <v>8</v>
      </c>
      <c r="C9" s="2">
        <v>-3.83933845245127E-2</v>
      </c>
      <c r="D9" s="2">
        <v>-3.7506894649751793E-2</v>
      </c>
      <c r="E9" s="2">
        <v>-4.7178988326848248E-2</v>
      </c>
      <c r="F9" s="2">
        <v>-4.8456057007125894E-2</v>
      </c>
      <c r="G9" s="2">
        <v>-4.7004608294930875E-2</v>
      </c>
    </row>
    <row r="10" spans="1:14">
      <c r="A10" s="7" t="s">
        <v>12</v>
      </c>
      <c r="B10" s="7" t="s">
        <v>8</v>
      </c>
      <c r="C10" s="8">
        <v>0.17483756645008852</v>
      </c>
      <c r="D10" s="8">
        <v>0.20054605626034203</v>
      </c>
      <c r="E10" s="8">
        <v>0.18361867704280155</v>
      </c>
      <c r="F10" s="8">
        <v>0.14961995249406174</v>
      </c>
      <c r="G10" s="8">
        <v>0.12313364055299535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37F8-47E9-47E6-8883-884A8E96C9B2}">
  <dimension ref="A1:S10"/>
  <sheetViews>
    <sheetView workbookViewId="0"/>
  </sheetViews>
  <sheetFormatPr defaultRowHeight="13.8"/>
  <cols>
    <col min="2" max="2" width="7.69921875" bestFit="1" customWidth="1"/>
  </cols>
  <sheetData>
    <row r="1" spans="1:19">
      <c r="B1" s="1" t="s">
        <v>2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</row>
    <row r="2" spans="1:19">
      <c r="A2" s="1" t="s">
        <v>1</v>
      </c>
      <c r="B2" t="s">
        <v>7</v>
      </c>
      <c r="C2" s="3">
        <v>2032</v>
      </c>
      <c r="D2" s="3">
        <v>2096</v>
      </c>
      <c r="E2" s="3">
        <v>2225</v>
      </c>
      <c r="F2" s="3">
        <v>2303</v>
      </c>
      <c r="G2" s="3">
        <v>2225</v>
      </c>
      <c r="H2" s="2"/>
      <c r="I2" s="3"/>
      <c r="J2" s="3"/>
      <c r="K2" s="3"/>
      <c r="L2" s="3"/>
      <c r="M2" s="3"/>
    </row>
    <row r="3" spans="1:19">
      <c r="A3" s="1" t="s">
        <v>1</v>
      </c>
      <c r="B3" t="s">
        <v>8</v>
      </c>
      <c r="C3" s="2">
        <v>1</v>
      </c>
      <c r="D3" s="2">
        <v>1</v>
      </c>
      <c r="E3" s="2">
        <v>1</v>
      </c>
      <c r="F3" s="2">
        <v>1</v>
      </c>
      <c r="G3" s="2">
        <v>1</v>
      </c>
    </row>
    <row r="4" spans="1:19">
      <c r="A4" s="1" t="s">
        <v>3</v>
      </c>
      <c r="B4" t="s">
        <v>8</v>
      </c>
      <c r="C4" s="2">
        <v>-0.5</v>
      </c>
      <c r="D4" s="2">
        <v>-0.50095419847328249</v>
      </c>
      <c r="E4" s="2">
        <v>-0.49573033707865166</v>
      </c>
      <c r="F4" s="2">
        <v>-0.52</v>
      </c>
      <c r="G4" s="2">
        <v>-0.56999999999999995</v>
      </c>
    </row>
    <row r="5" spans="1:19">
      <c r="A5" s="1" t="s">
        <v>9</v>
      </c>
      <c r="B5" t="s">
        <v>8</v>
      </c>
      <c r="C5" s="11">
        <v>-0.2</v>
      </c>
      <c r="D5" s="2">
        <v>-0.2</v>
      </c>
      <c r="E5" s="11">
        <v>-0.19</v>
      </c>
      <c r="F5" s="11">
        <v>-0.18</v>
      </c>
      <c r="G5" s="11">
        <v>-0.18</v>
      </c>
      <c r="J5" s="6"/>
      <c r="K5" s="6"/>
      <c r="L5" s="6"/>
      <c r="M5" s="6"/>
      <c r="N5" s="6"/>
    </row>
    <row r="6" spans="1:19">
      <c r="A6" s="1" t="s">
        <v>11</v>
      </c>
      <c r="B6" t="s">
        <v>8</v>
      </c>
      <c r="C6" s="11">
        <v>-2.8000000000000001E-2</v>
      </c>
      <c r="D6" s="11">
        <v>-2.7E-2</v>
      </c>
      <c r="E6" s="11">
        <v>-0.03</v>
      </c>
      <c r="F6" s="11">
        <v>-2.8999999999999998E-2</v>
      </c>
      <c r="G6" s="16">
        <v>-2.7999999999999997E-2</v>
      </c>
      <c r="J6" s="6"/>
      <c r="K6" s="6"/>
      <c r="L6" s="6"/>
      <c r="M6" s="6"/>
      <c r="N6" s="6"/>
    </row>
    <row r="7" spans="1:19">
      <c r="A7" s="1" t="s">
        <v>10</v>
      </c>
      <c r="B7" t="s">
        <v>8</v>
      </c>
      <c r="C7" s="11">
        <v>-0.02</v>
      </c>
      <c r="D7" s="11">
        <v>-2.3E-2</v>
      </c>
      <c r="E7" s="11">
        <v>-0.03</v>
      </c>
      <c r="F7" s="11">
        <v>-0.04</v>
      </c>
      <c r="G7" s="11">
        <v>-0.03</v>
      </c>
      <c r="J7" s="6"/>
      <c r="K7" s="6"/>
      <c r="L7" s="6"/>
      <c r="M7" s="6"/>
      <c r="N7" s="6"/>
    </row>
    <row r="8" spans="1:19">
      <c r="A8" s="7" t="s">
        <v>4</v>
      </c>
      <c r="B8" s="7" t="s">
        <v>8</v>
      </c>
      <c r="C8" s="8">
        <v>0.25199999999999995</v>
      </c>
      <c r="D8" s="8">
        <v>0.24904580152671749</v>
      </c>
      <c r="E8" s="8">
        <v>0.25426966292134834</v>
      </c>
      <c r="F8" s="8">
        <v>0.23100000000000001</v>
      </c>
      <c r="G8" s="8">
        <v>0.19200000000000006</v>
      </c>
      <c r="H8" s="11"/>
      <c r="O8" s="6"/>
      <c r="P8" s="6"/>
      <c r="Q8" s="6"/>
      <c r="R8" s="6"/>
      <c r="S8" s="6"/>
    </row>
    <row r="9" spans="1:19">
      <c r="A9" s="1" t="s">
        <v>5</v>
      </c>
      <c r="B9" t="s">
        <v>8</v>
      </c>
      <c r="C9" s="2">
        <v>-0.16141732283464566</v>
      </c>
      <c r="D9" s="2">
        <v>-0.12881679389312978</v>
      </c>
      <c r="E9" s="2">
        <v>-0.12359550561797752</v>
      </c>
      <c r="F9" s="2">
        <v>-0.12548849326964828</v>
      </c>
      <c r="G9" s="2">
        <v>-0.11865168539325843</v>
      </c>
      <c r="O9" s="6"/>
      <c r="P9" s="6"/>
      <c r="Q9" s="6"/>
      <c r="R9" s="6"/>
      <c r="S9" s="6"/>
    </row>
    <row r="10" spans="1:19">
      <c r="A10" s="7" t="s">
        <v>12</v>
      </c>
      <c r="B10" s="7" t="s">
        <v>8</v>
      </c>
      <c r="C10" s="8">
        <v>9.0582677165354286E-2</v>
      </c>
      <c r="D10" s="8">
        <v>0.12022900763358771</v>
      </c>
      <c r="E10" s="8">
        <v>0.13067415730337081</v>
      </c>
      <c r="F10" s="8">
        <v>0.10551150673035173</v>
      </c>
      <c r="G10" s="8">
        <v>7.3348314606741627E-2</v>
      </c>
      <c r="O10" s="6"/>
      <c r="P10" s="6"/>
      <c r="Q10" s="6"/>
      <c r="R10" s="6"/>
      <c r="S10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9FDAA71854B54B95D23DE69E7FB905" ma:contentTypeVersion="16" ma:contentTypeDescription="Create a new document." ma:contentTypeScope="" ma:versionID="bce8ab1f8ce8e92383025f6119060966">
  <xsd:schema xmlns:xsd="http://www.w3.org/2001/XMLSchema" xmlns:xs="http://www.w3.org/2001/XMLSchema" xmlns:p="http://schemas.microsoft.com/office/2006/metadata/properties" xmlns:ns1="http://schemas.microsoft.com/sharepoint/v3" xmlns:ns2="fefae61e-8cc6-42f8-8602-1ad3e151e17d" xmlns:ns3="aaf80e1f-ee27-4906-82c6-813f9d3a8635" targetNamespace="http://schemas.microsoft.com/office/2006/metadata/properties" ma:root="true" ma:fieldsID="da5ac065dcf77c5073ae088113fecd8e" ns1:_="" ns2:_="" ns3:_="">
    <xsd:import namespace="http://schemas.microsoft.com/sharepoint/v3"/>
    <xsd:import namespace="fefae61e-8cc6-42f8-8602-1ad3e151e17d"/>
    <xsd:import namespace="aaf80e1f-ee27-4906-82c6-813f9d3a8635"/>
    <xsd:element name="properties">
      <xsd:complexType>
        <xsd:sequence>
          <xsd:element name="documentManagement">
            <xsd:complexType>
              <xsd:all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lcf76f155ced4ddcb4097134ff3c332f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8" nillable="true" ma:taxonomy="true" ma:internalName="SourceSystemTaxHTField" ma:taxonomyFieldName="SourceSystem" ma:displayName="SourceSystem" ma:default="1;#SPT|2fb50d21-ef84-426b-a8ca-497326c66aa9" ma:fieldId="{0478d4ca-c84f-4b2e-87c8-89d55aa7f3df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2" nillable="true" ma:taxonomy="true" ma:internalName="DataSourceTaxHTField" ma:taxonomyFieldName="DataSource" ma:displayName="DataSource" ma:default="2;#Internal|0b10eabc-00d3-4553-8252-f6efa1cda259" ma:fieldId="{dbbdb87b-e25a-4b1d-8068-66bf86b65632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ae61e-8cc6-42f8-8602-1ad3e151e17d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0ae7bed5-903e-49e4-8c1f-8cff2c70b6b4}" ma:internalName="TaxCatchAll" ma:showField="CatchAllData" ma:web="fefae61e-8cc6-42f8-8602-1ad3e151e1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ae7bed5-903e-49e4-8c1f-8cff2c70b6b4}" ma:internalName="TaxCatchAllLabel" ma:readOnly="true" ma:showField="CatchAllDataLabel" ma:web="fefae61e-8cc6-42f8-8602-1ad3e151e1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80e1f-ee27-4906-82c6-813f9d3a86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System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SPT</TermName>
          <TermId xmlns="http://schemas.microsoft.com/office/infopath/2007/PartnerControls">2fb50d21-ef84-426b-a8ca-497326c66aa9</TermId>
        </TermInfo>
      </Terms>
    </SourceSystemTaxHTField>
    <DataSource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0b10eabc-00d3-4553-8252-f6efa1cda259</TermId>
        </TermInfo>
      </Terms>
    </DataSourceTaxHTField>
    <lcf76f155ced4ddcb4097134ff3c332f xmlns="aaf80e1f-ee27-4906-82c6-813f9d3a8635">
      <Terms xmlns="http://schemas.microsoft.com/office/infopath/2007/PartnerControls"/>
    </lcf76f155ced4ddcb4097134ff3c332f>
    <TaxCatchAll xmlns="fefae61e-8cc6-42f8-8602-1ad3e151e17d">
      <Value>2</Value>
      <Value>1</Value>
    </TaxCatchAll>
    <MediaLengthInSeconds xmlns="aaf80e1f-ee27-4906-82c6-813f9d3a863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313AE8-F572-4E8D-9A90-F1ADDDB995CC}"/>
</file>

<file path=customXml/itemProps2.xml><?xml version="1.0" encoding="utf-8"?>
<ds:datastoreItem xmlns:ds="http://schemas.openxmlformats.org/officeDocument/2006/customXml" ds:itemID="{B73489FC-E151-4A8D-8AA0-984EC5CC9B04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aaf80e1f-ee27-4906-82c6-813f9d3a8635"/>
    <ds:schemaRef ds:uri="http://schemas.microsoft.com/office/2006/documentManagement/types"/>
    <ds:schemaRef ds:uri="http://purl.org/dc/terms/"/>
    <ds:schemaRef ds:uri="fefae61e-8cc6-42f8-8602-1ad3e151e17d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B815F4C-3AD3-4D1A-A099-716EA1BA39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Dairyworks Financials&gt;&gt;&gt;</vt:lpstr>
      <vt:lpstr>Dairyworks P&amp;L</vt:lpstr>
      <vt:lpstr>Peer Financials&gt;&gt;&gt;</vt:lpstr>
      <vt:lpstr>Almarai P&amp;L</vt:lpstr>
      <vt:lpstr>SADFCO P&amp;L</vt:lpstr>
      <vt:lpstr>NADEC 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Yassmina Hachem</dc:creator>
  <cp:lastModifiedBy>Emily Maina-NBI</cp:lastModifiedBy>
  <cp:lastPrinted>2019-12-06T19:44:44Z</cp:lastPrinted>
  <dcterms:created xsi:type="dcterms:W3CDTF">2019-12-02T20:05:52Z</dcterms:created>
  <dcterms:modified xsi:type="dcterms:W3CDTF">2025-08-28T14:23:34Z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0x0101003D9FDAA71854B54B95D23DE69E7FB905</vt:lpwstr>
  </property>
  <property fmtid="{D5CDD505-2E9C-101B-9397-08002B2CF9AE}" pid="3" name="Order">
    <vt:r8>12100</vt:r8>
  </property>
  <property fmtid="{D5CDD505-2E9C-101B-9397-08002B2CF9AE}" pid="4" name="DataSource">
    <vt:lpwstr>2;#Internal|0b10eabc-00d3-4553-8252-f6efa1cda259</vt:lpwstr>
  </property>
  <property fmtid="{D5CDD505-2E9C-101B-9397-08002B2CF9AE}" pid="5" name="SourceSystem">
    <vt:lpwstr>1;#SPT|2fb50d21-ef84-426b-a8ca-497326c66aa9</vt:lpwstr>
  </property>
  <property fmtid="{D5CDD505-2E9C-101B-9397-08002B2CF9AE}" pid="6" name="MSIP_Label_fec09dec-a9ce-4322-b578-b49052c992d8_Enabled">
    <vt:lpwstr>True</vt:lpwstr>
  </property>
  <property fmtid="{D5CDD505-2E9C-101B-9397-08002B2CF9AE}" pid="7" name="MSIP_Label_fec09dec-a9ce-4322-b578-b49052c992d8_SiteId">
    <vt:lpwstr>cc8936bc-9382-4fff-87cb-6f55999549e7</vt:lpwstr>
  </property>
  <property fmtid="{D5CDD505-2E9C-101B-9397-08002B2CF9AE}" pid="8" name="MSIP_Label_fec09dec-a9ce-4322-b578-b49052c992d8_SetDate">
    <vt:lpwstr>2025-04-02T05:31:45Z</vt:lpwstr>
  </property>
  <property fmtid="{D5CDD505-2E9C-101B-9397-08002B2CF9AE}" pid="9" name="MSIP_Label_fec09dec-a9ce-4322-b578-b49052c992d8_Name">
    <vt:lpwstr>Firm Confidential</vt:lpwstr>
  </property>
  <property fmtid="{D5CDD505-2E9C-101B-9397-08002B2CF9AE}" pid="10" name="MSIP_Label_fec09dec-a9ce-4322-b578-b49052c992d8_ActionId">
    <vt:lpwstr>3cc29361-65bb-4ae6-8c9d-1124638d9296</vt:lpwstr>
  </property>
  <property fmtid="{D5CDD505-2E9C-101B-9397-08002B2CF9AE}" pid="11" name="MSIP_Label_fec09dec-a9ce-4322-b578-b49052c992d8_Removed">
    <vt:lpwstr>False</vt:lpwstr>
  </property>
  <property fmtid="{D5CDD505-2E9C-101B-9397-08002B2CF9AE}" pid="12" name="MSIP_Label_fec09dec-a9ce-4322-b578-b49052c992d8_Extended_MSFT_Method">
    <vt:lpwstr>Standard</vt:lpwstr>
  </property>
  <property fmtid="{D5CDD505-2E9C-101B-9397-08002B2CF9AE}" pid="13" name="Sensitivity">
    <vt:lpwstr>Firm Confidential</vt:lpwstr>
  </property>
  <property fmtid="{D5CDD505-2E9C-101B-9397-08002B2CF9AE}" pid="14" name="xd_Signature">
    <vt:bool>false</vt:bool>
  </property>
  <property fmtid="{D5CDD505-2E9C-101B-9397-08002B2CF9AE}" pid="15" name="xd_ProgID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  <property fmtid="{D5CDD505-2E9C-101B-9397-08002B2CF9AE}" pid="20" name="MediaServiceImageTags">
    <vt:lpwstr/>
  </property>
</Properties>
</file>